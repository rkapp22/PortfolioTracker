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Aleksandra\Desktop\PortfolioTracker\data\"/>
    </mc:Choice>
  </mc:AlternateContent>
  <xr:revisionPtr revIDLastSave="0" documentId="13_ncr:1_{601C3E6B-DE2B-4EAE-B270-88E1D27BCC98}" xr6:coauthVersionLast="47" xr6:coauthVersionMax="47" xr10:uidLastSave="{00000000-0000-0000-0000-000000000000}"/>
  <bookViews>
    <workbookView xWindow="1770" yWindow="750" windowWidth="12120" windowHeight="13695" tabRatio="500" activeTab="1" xr2:uid="{00000000-000D-0000-FFFF-FFFF00000000}"/>
  </bookViews>
  <sheets>
    <sheet name="securities" sheetId="1" r:id="rId1"/>
    <sheet name="transactions" sheetId="2" r:id="rId2"/>
  </sheets>
  <definedNames>
    <definedName name="_xlnm._FilterDatabase" localSheetId="1" hidden="1">transactions!$A$1:$H$26</definedName>
  </definedNames>
  <calcPr calcId="191028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G14" i="2" l="1"/>
  <c r="G17" i="2"/>
  <c r="F13" i="2"/>
  <c r="F14" i="2"/>
  <c r="F15" i="2"/>
  <c r="F16" i="2"/>
  <c r="F17" i="2"/>
  <c r="F18" i="2"/>
  <c r="F19" i="2"/>
  <c r="F20" i="2"/>
  <c r="F21" i="2"/>
  <c r="F22" i="2"/>
  <c r="F23" i="2"/>
  <c r="F24" i="2"/>
  <c r="F25" i="2"/>
  <c r="F12" i="2"/>
  <c r="G25" i="2"/>
  <c r="G24" i="2"/>
  <c r="G23" i="2"/>
  <c r="G22" i="2"/>
  <c r="G21" i="2"/>
  <c r="G20" i="2"/>
  <c r="G19" i="2"/>
  <c r="G18" i="2"/>
  <c r="G16" i="2"/>
  <c r="G15" i="2"/>
  <c r="G13" i="2"/>
  <c r="G12" i="2"/>
  <c r="G11" i="2"/>
  <c r="F11" i="2"/>
  <c r="G10" i="2"/>
  <c r="F10" i="2"/>
  <c r="G9" i="2"/>
  <c r="F9" i="2"/>
  <c r="G8" i="2"/>
  <c r="F8" i="2"/>
  <c r="G7" i="2"/>
  <c r="F7" i="2"/>
  <c r="G6" i="2"/>
  <c r="F6" i="2"/>
  <c r="G5" i="2"/>
  <c r="F5" i="2"/>
  <c r="G4" i="2"/>
  <c r="F4" i="2"/>
  <c r="G3" i="2"/>
  <c r="F3" i="2"/>
  <c r="G2" i="2"/>
  <c r="F2" i="2"/>
</calcChain>
</file>

<file path=xl/sharedStrings.xml><?xml version="1.0" encoding="utf-8"?>
<sst xmlns="http://schemas.openxmlformats.org/spreadsheetml/2006/main" count="110" uniqueCount="46">
  <si>
    <t>ticker</t>
  </si>
  <si>
    <t>name</t>
  </si>
  <si>
    <t>currency</t>
  </si>
  <si>
    <t>country</t>
  </si>
  <si>
    <t>sector</t>
  </si>
  <si>
    <t>AAPL</t>
  </si>
  <si>
    <t>Apple Inc.</t>
  </si>
  <si>
    <t>USD</t>
  </si>
  <si>
    <t>US</t>
  </si>
  <si>
    <t>Technology</t>
  </si>
  <si>
    <t>MSFT</t>
  </si>
  <si>
    <t>Microsoft Corporation</t>
  </si>
  <si>
    <t>TKM1T.TL</t>
  </si>
  <si>
    <t>Tallinna Kaubamaja Grupp</t>
  </si>
  <si>
    <t>EUR</t>
  </si>
  <si>
    <t>EE</t>
  </si>
  <si>
    <t>Consumer Staples</t>
  </si>
  <si>
    <t>LHV1T.TL</t>
  </si>
  <si>
    <t>LHV Group</t>
  </si>
  <si>
    <t>Financials</t>
  </si>
  <si>
    <t>ARC1T.TL</t>
  </si>
  <si>
    <t>Arco Vara</t>
  </si>
  <si>
    <t>CPA1T.TL</t>
  </si>
  <si>
    <t>Coop Pank</t>
  </si>
  <si>
    <t>INF1T.TL</t>
  </si>
  <si>
    <t>Infortar</t>
  </si>
  <si>
    <t>TAL1T.TL</t>
  </si>
  <si>
    <t>Tallink Grupp</t>
  </si>
  <si>
    <t>TVE1T.TL</t>
  </si>
  <si>
    <t>Tallinna Vesi</t>
  </si>
  <si>
    <t>date</t>
  </si>
  <si>
    <t>action</t>
  </si>
  <si>
    <t>quantity</t>
  </si>
  <si>
    <t>price_per_unit</t>
  </si>
  <si>
    <t>gross_amount</t>
  </si>
  <si>
    <t>notes</t>
  </si>
  <si>
    <t>BUY</t>
  </si>
  <si>
    <t>initial position</t>
  </si>
  <si>
    <t>averaging down</t>
  </si>
  <si>
    <t>SELL</t>
  </si>
  <si>
    <t>partial profit taking</t>
  </si>
  <si>
    <t>trim</t>
  </si>
  <si>
    <t>Real Estate</t>
  </si>
  <si>
    <t>Industrials</t>
  </si>
  <si>
    <t>Consumer Discretionary</t>
  </si>
  <si>
    <t>Utilities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</si>
</sst>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yyyy\-mm\-dd"/>
    <numFmt numFmtId="165" formatCode="#,##0.0000"/>
    <numFmt numFmtId="166" formatCode="0.0000"/>
  </numFmts>
  <fonts count="7" x14ac:knownFonts="1">
    <font>
      <sz val="11"/>
      <color theme="1"/>
      <name val="Calibri"/>
      <family val="2"/>
      <charset val="1"/>
    </font>
    <font>
      <b/>
      <sz val="11"/>
      <color rgb="FFFFFFFF"/>
      <name val="Arial"/>
      <family val="2"/>
    </font>
    <font>
      <sz val="11"/>
      <name val="Arial"/>
      <family val="2"/>
    </font>
    <font>
      <i/>
      <sz val="11"/>
      <color rgb="FF595959"/>
      <name val="Arial"/>
      <family val="2"/>
    </font>
    <font>
      <i/>
      <sz val="11"/>
      <color theme="1"/>
      <name val="Arial"/>
      <family val="2"/>
    </font>
    <font>
      <sz val="11"/>
      <color theme="1"/>
      <name val="Arial"/>
      <family val="2"/>
    </font>
    <font>
      <sz val="11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305496"/>
        <bgColor rgb="FF595959"/>
      </patternFill>
    </fill>
    <fill>
      <patternFill patternType="solid">
        <fgColor rgb="FFF2F2F2"/>
        <bgColor rgb="FFFFFF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0" borderId="0" xfId="0" applyFont="1"/>
    <xf numFmtId="164" fontId="2" fillId="0" borderId="0" xfId="0" applyNumberFormat="1" applyFont="1"/>
    <xf numFmtId="3" fontId="2" fillId="0" borderId="0" xfId="0" applyNumberFormat="1" applyFont="1"/>
    <xf numFmtId="165" fontId="2" fillId="0" borderId="0" xfId="0" applyNumberFormat="1" applyFont="1"/>
    <xf numFmtId="0" fontId="3" fillId="3" borderId="0" xfId="0" applyFont="1" applyFill="1"/>
    <xf numFmtId="2" fontId="3" fillId="3" borderId="0" xfId="0" applyNumberFormat="1" applyFont="1" applyFill="1"/>
    <xf numFmtId="2" fontId="0" fillId="0" borderId="0" xfId="0" applyNumberFormat="1"/>
    <xf numFmtId="2" fontId="4" fillId="0" borderId="0" xfId="0" applyNumberFormat="1" applyFont="1"/>
    <xf numFmtId="0" fontId="5" fillId="0" borderId="0" xfId="0" applyFont="1"/>
    <xf numFmtId="164" fontId="5" fillId="0" borderId="0" xfId="0" applyNumberFormat="1" applyFont="1"/>
    <xf numFmtId="166" fontId="5" fillId="0" borderId="0" xfId="0" applyNumberFormat="1" applyFont="1"/>
    <xf numFmtId="0" fontId="6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2F2F2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003366"/>
      <rgbColor rgb="FF339966"/>
      <rgbColor rgb="FF003300"/>
      <rgbColor rgb="FF333300"/>
      <rgbColor rgb="FF993300"/>
      <rgbColor rgb="FF993366"/>
      <rgbColor rgb="FF305496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0"/>
  <sheetViews>
    <sheetView zoomScaleNormal="100" workbookViewId="0">
      <pane ySplit="1" topLeftCell="A2" activePane="bottomLeft" state="frozen"/>
      <selection pane="bottomLeft" activeCell="D17" sqref="D17"/>
    </sheetView>
  </sheetViews>
  <sheetFormatPr defaultColWidth="8.7109375" defaultRowHeight="15" x14ac:dyDescent="0.25"/>
  <cols>
    <col min="1" max="1" width="12" customWidth="1"/>
    <col min="2" max="2" width="28" customWidth="1"/>
    <col min="3" max="4" width="10" customWidth="1"/>
    <col min="5" max="5" width="18" customWidth="1"/>
  </cols>
  <sheetData>
    <row r="1" spans="1: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s="2" t="s">
        <v>5</v>
      </c>
      <c r="B2" s="2" t="s">
        <v>6</v>
      </c>
      <c r="C2" s="2" t="s">
        <v>7</v>
      </c>
      <c r="D2" s="2" t="s">
        <v>8</v>
      </c>
      <c r="E2" s="2" t="s">
        <v>9</v>
      </c>
    </row>
    <row r="3" spans="1:5" x14ac:dyDescent="0.25">
      <c r="A3" s="2" t="s">
        <v>10</v>
      </c>
      <c r="B3" s="2" t="s">
        <v>11</v>
      </c>
      <c r="C3" s="2" t="s">
        <v>7</v>
      </c>
      <c r="D3" s="2" t="s">
        <v>8</v>
      </c>
      <c r="E3" s="2" t="s">
        <v>9</v>
      </c>
    </row>
    <row r="4" spans="1:5" x14ac:dyDescent="0.25">
      <c r="A4" s="2" t="s">
        <v>12</v>
      </c>
      <c r="B4" s="2" t="s">
        <v>13</v>
      </c>
      <c r="C4" s="2" t="s">
        <v>14</v>
      </c>
      <c r="D4" s="2" t="s">
        <v>15</v>
      </c>
      <c r="E4" s="2" t="s">
        <v>16</v>
      </c>
    </row>
    <row r="5" spans="1:5" x14ac:dyDescent="0.25">
      <c r="A5" s="2" t="s">
        <v>17</v>
      </c>
      <c r="B5" s="2" t="s">
        <v>18</v>
      </c>
      <c r="C5" s="2" t="s">
        <v>14</v>
      </c>
      <c r="D5" s="2" t="s">
        <v>15</v>
      </c>
      <c r="E5" s="2" t="s">
        <v>19</v>
      </c>
    </row>
    <row r="6" spans="1:5" x14ac:dyDescent="0.25">
      <c r="A6" s="10" t="s">
        <v>20</v>
      </c>
      <c r="B6" s="10" t="s">
        <v>21</v>
      </c>
      <c r="C6" s="10" t="s">
        <v>14</v>
      </c>
      <c r="D6" s="10" t="s">
        <v>15</v>
      </c>
      <c r="E6" s="2" t="s">
        <v>42</v>
      </c>
    </row>
    <row r="7" spans="1:5" x14ac:dyDescent="0.25">
      <c r="A7" s="10" t="s">
        <v>22</v>
      </c>
      <c r="B7" s="10" t="s">
        <v>23</v>
      </c>
      <c r="C7" s="10" t="s">
        <v>14</v>
      </c>
      <c r="D7" s="10" t="s">
        <v>15</v>
      </c>
      <c r="E7" s="2" t="s">
        <v>19</v>
      </c>
    </row>
    <row r="8" spans="1:5" x14ac:dyDescent="0.25">
      <c r="A8" s="10" t="s">
        <v>24</v>
      </c>
      <c r="B8" s="10" t="s">
        <v>25</v>
      </c>
      <c r="C8" s="10" t="s">
        <v>14</v>
      </c>
      <c r="D8" s="10" t="s">
        <v>15</v>
      </c>
      <c r="E8" s="2" t="s">
        <v>43</v>
      </c>
    </row>
    <row r="9" spans="1:5" x14ac:dyDescent="0.25">
      <c r="A9" s="10" t="s">
        <v>26</v>
      </c>
      <c r="B9" s="10" t="s">
        <v>27</v>
      </c>
      <c r="C9" s="10" t="s">
        <v>14</v>
      </c>
      <c r="D9" s="10" t="s">
        <v>15</v>
      </c>
      <c r="E9" s="2" t="s">
        <v>44</v>
      </c>
    </row>
    <row r="10" spans="1:5" x14ac:dyDescent="0.25">
      <c r="A10" s="10" t="s">
        <v>28</v>
      </c>
      <c r="B10" s="10" t="s">
        <v>29</v>
      </c>
      <c r="C10" s="10" t="s">
        <v>14</v>
      </c>
      <c r="D10" s="10" t="s">
        <v>15</v>
      </c>
      <c r="E10" s="2" t="s">
        <v>45</v>
      </c>
    </row>
  </sheetData>
  <dataValidations count="1">
    <dataValidation type="list" allowBlank="1" sqref="C2:C105" xr:uid="{00000000-0002-0000-0000-000000000000}">
      <formula1>"EUR,USD,GBP,SEK,NOK,DKK,CHF,JPY"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39"/>
  <sheetViews>
    <sheetView tabSelected="1" zoomScaleNormal="100" workbookViewId="0">
      <pane ySplit="1" topLeftCell="A2" activePane="bottomLeft" state="frozen"/>
      <selection pane="bottomLeft" activeCell="F27" sqref="F27"/>
    </sheetView>
  </sheetViews>
  <sheetFormatPr defaultColWidth="8.7109375" defaultRowHeight="15" x14ac:dyDescent="0.25"/>
  <cols>
    <col min="1" max="1" width="21.28515625" customWidth="1"/>
    <col min="2" max="2" width="12" customWidth="1"/>
    <col min="3" max="3" width="8" customWidth="1"/>
    <col min="4" max="4" width="10" customWidth="1"/>
    <col min="5" max="5" width="14" customWidth="1"/>
    <col min="6" max="6" width="10" customWidth="1"/>
    <col min="7" max="7" width="14" customWidth="1"/>
    <col min="8" max="8" width="30" customWidth="1"/>
  </cols>
  <sheetData>
    <row r="1" spans="1:8" x14ac:dyDescent="0.25">
      <c r="A1" s="1" t="s">
        <v>30</v>
      </c>
      <c r="B1" s="1" t="s">
        <v>0</v>
      </c>
      <c r="C1" s="1" t="s">
        <v>31</v>
      </c>
      <c r="D1" s="1" t="s">
        <v>32</v>
      </c>
      <c r="E1" s="1" t="s">
        <v>33</v>
      </c>
      <c r="F1" s="1" t="s">
        <v>2</v>
      </c>
      <c r="G1" s="1" t="s">
        <v>34</v>
      </c>
      <c r="H1" s="1" t="s">
        <v>35</v>
      </c>
    </row>
    <row r="2" spans="1:8" x14ac:dyDescent="0.25">
      <c r="A2" s="3">
        <v>45672</v>
      </c>
      <c r="B2" s="13" t="s">
        <v>5</v>
      </c>
      <c r="C2" s="2" t="s">
        <v>36</v>
      </c>
      <c r="D2" s="4">
        <v>10</v>
      </c>
      <c r="E2" s="5">
        <v>230.5</v>
      </c>
      <c r="F2" s="6" t="str">
        <f>VLOOKUP(B2,securities!A:C,3,FALSE())</f>
        <v>USD</v>
      </c>
      <c r="G2" s="7">
        <f t="shared" ref="G2:G10" si="0">IF(C2="BUY",-D2*E2,IF(C2="SELL",D2*E2,0))</f>
        <v>-2305</v>
      </c>
      <c r="H2" s="2" t="s">
        <v>37</v>
      </c>
    </row>
    <row r="3" spans="1:8" x14ac:dyDescent="0.25">
      <c r="A3" s="3">
        <v>45698</v>
      </c>
      <c r="B3" s="13" t="s">
        <v>10</v>
      </c>
      <c r="C3" s="2" t="s">
        <v>36</v>
      </c>
      <c r="D3" s="4">
        <v>5</v>
      </c>
      <c r="E3" s="5">
        <v>412</v>
      </c>
      <c r="F3" s="6" t="str">
        <f>VLOOKUP(B3,securities!A:C,3,FALSE())</f>
        <v>USD</v>
      </c>
      <c r="G3" s="7">
        <f t="shared" si="0"/>
        <v>-2060</v>
      </c>
      <c r="H3" s="2"/>
    </row>
    <row r="4" spans="1:8" x14ac:dyDescent="0.25">
      <c r="A4" s="3">
        <v>45708</v>
      </c>
      <c r="B4" s="13" t="s">
        <v>12</v>
      </c>
      <c r="C4" s="2" t="s">
        <v>36</v>
      </c>
      <c r="D4" s="4">
        <v>50</v>
      </c>
      <c r="E4" s="5">
        <v>9.8000000000000007</v>
      </c>
      <c r="F4" s="6" t="str">
        <f>VLOOKUP(B4,securities!A:C,3,FALSE())</f>
        <v>EUR</v>
      </c>
      <c r="G4" s="7">
        <f t="shared" si="0"/>
        <v>-490.00000000000006</v>
      </c>
      <c r="H4" s="2"/>
    </row>
    <row r="5" spans="1:8" x14ac:dyDescent="0.25">
      <c r="A5" s="3">
        <v>45721</v>
      </c>
      <c r="B5" s="13" t="s">
        <v>17</v>
      </c>
      <c r="C5" s="2" t="s">
        <v>36</v>
      </c>
      <c r="D5" s="4">
        <v>30</v>
      </c>
      <c r="E5" s="5">
        <v>4.55</v>
      </c>
      <c r="F5" s="6" t="str">
        <f>VLOOKUP(B5,securities!A:C,3,FALSE())</f>
        <v>EUR</v>
      </c>
      <c r="G5" s="7">
        <f t="shared" si="0"/>
        <v>-136.5</v>
      </c>
      <c r="H5" s="2"/>
    </row>
    <row r="6" spans="1:8" x14ac:dyDescent="0.25">
      <c r="A6" s="3">
        <v>45759</v>
      </c>
      <c r="B6" s="13" t="s">
        <v>5</v>
      </c>
      <c r="C6" s="2" t="s">
        <v>36</v>
      </c>
      <c r="D6" s="4">
        <v>5</v>
      </c>
      <c r="E6" s="5">
        <v>198</v>
      </c>
      <c r="F6" s="6" t="str">
        <f>VLOOKUP(B6,securities!A:C,3,FALSE())</f>
        <v>USD</v>
      </c>
      <c r="G6" s="7">
        <f t="shared" si="0"/>
        <v>-990</v>
      </c>
      <c r="H6" s="2" t="s">
        <v>38</v>
      </c>
    </row>
    <row r="7" spans="1:8" x14ac:dyDescent="0.25">
      <c r="A7" s="3">
        <v>45797</v>
      </c>
      <c r="B7" s="13" t="s">
        <v>12</v>
      </c>
      <c r="C7" s="2" t="s">
        <v>36</v>
      </c>
      <c r="D7" s="4">
        <v>25</v>
      </c>
      <c r="E7" s="5">
        <v>10.199999999999999</v>
      </c>
      <c r="F7" s="6" t="str">
        <f>VLOOKUP(B7,securities!A:C,3,FALSE())</f>
        <v>EUR</v>
      </c>
      <c r="G7" s="7">
        <f t="shared" si="0"/>
        <v>-254.99999999999997</v>
      </c>
      <c r="H7" s="2"/>
    </row>
    <row r="8" spans="1:8" x14ac:dyDescent="0.25">
      <c r="A8" s="3">
        <v>45823</v>
      </c>
      <c r="B8" s="13" t="s">
        <v>10</v>
      </c>
      <c r="C8" s="2" t="s">
        <v>39</v>
      </c>
      <c r="D8" s="4">
        <v>2</v>
      </c>
      <c r="E8" s="5">
        <v>458</v>
      </c>
      <c r="F8" s="6" t="str">
        <f>VLOOKUP(B8,securities!A:C,3,FALSE())</f>
        <v>USD</v>
      </c>
      <c r="G8" s="7">
        <f t="shared" si="0"/>
        <v>916</v>
      </c>
      <c r="H8" s="2" t="s">
        <v>40</v>
      </c>
    </row>
    <row r="9" spans="1:8" x14ac:dyDescent="0.25">
      <c r="A9" s="3">
        <v>45891</v>
      </c>
      <c r="B9" s="13" t="s">
        <v>17</v>
      </c>
      <c r="C9" s="2" t="s">
        <v>39</v>
      </c>
      <c r="D9" s="4">
        <v>10</v>
      </c>
      <c r="E9" s="5">
        <v>5.0999999999999996</v>
      </c>
      <c r="F9" s="6" t="str">
        <f>VLOOKUP(B9,securities!A:C,3,FALSE())</f>
        <v>EUR</v>
      </c>
      <c r="G9" s="7">
        <f t="shared" si="0"/>
        <v>51</v>
      </c>
      <c r="H9" s="2" t="s">
        <v>41</v>
      </c>
    </row>
    <row r="10" spans="1:8" x14ac:dyDescent="0.25">
      <c r="A10" s="3">
        <v>45910</v>
      </c>
      <c r="B10" s="13" t="s">
        <v>5</v>
      </c>
      <c r="C10" s="2" t="s">
        <v>39</v>
      </c>
      <c r="D10" s="4">
        <v>5</v>
      </c>
      <c r="E10" s="5">
        <v>245</v>
      </c>
      <c r="F10" s="6" t="str">
        <f>VLOOKUP(B10,securities!A:C,3,FALSE())</f>
        <v>USD</v>
      </c>
      <c r="G10" s="7">
        <f t="shared" si="0"/>
        <v>1225</v>
      </c>
      <c r="H10" s="2"/>
    </row>
    <row r="11" spans="1:8" x14ac:dyDescent="0.25">
      <c r="A11" s="3">
        <v>45935</v>
      </c>
      <c r="B11" s="13" t="s">
        <v>12</v>
      </c>
      <c r="C11" s="2" t="s">
        <v>39</v>
      </c>
      <c r="D11" s="4">
        <v>20</v>
      </c>
      <c r="E11" s="5">
        <v>11.5</v>
      </c>
      <c r="F11" s="6" t="str">
        <f>VLOOKUP(B11,securities!A:C,3,FALSE())</f>
        <v>EUR</v>
      </c>
      <c r="G11" s="7">
        <f>IF(C11="BUY",-D11*E11,IF(C11="SELL",D11*E11,0))</f>
        <v>230</v>
      </c>
      <c r="H11" s="2"/>
    </row>
    <row r="12" spans="1:8" x14ac:dyDescent="0.25">
      <c r="A12" s="11">
        <v>46037</v>
      </c>
      <c r="B12" s="10" t="s">
        <v>17</v>
      </c>
      <c r="C12" s="10" t="s">
        <v>36</v>
      </c>
      <c r="D12" s="10">
        <v>50</v>
      </c>
      <c r="E12" s="12">
        <v>3.2</v>
      </c>
      <c r="F12" s="6" t="str">
        <f>VLOOKUP(B12,securities!A:C,3,FALSE())</f>
        <v>EUR</v>
      </c>
      <c r="G12" s="9">
        <f>IF(C12="BUY",-D12*E12,IF(C12="SELL",D12*E12,0))</f>
        <v>-160</v>
      </c>
      <c r="H12" s="10"/>
    </row>
    <row r="13" spans="1:8" x14ac:dyDescent="0.25">
      <c r="A13" s="11">
        <v>46042</v>
      </c>
      <c r="B13" s="10" t="s">
        <v>20</v>
      </c>
      <c r="C13" s="10" t="s">
        <v>36</v>
      </c>
      <c r="D13" s="10">
        <v>100</v>
      </c>
      <c r="E13" s="12">
        <v>1.335</v>
      </c>
      <c r="F13" s="6" t="str">
        <f>VLOOKUP(B13,securities!A:C,3,FALSE())</f>
        <v>EUR</v>
      </c>
      <c r="G13" s="9">
        <f>IF(C13="BUY",-D13*E13,IF(C13="SELL",D13*E13,0))</f>
        <v>-133.5</v>
      </c>
      <c r="H13" s="10"/>
    </row>
    <row r="14" spans="1:8" x14ac:dyDescent="0.25">
      <c r="A14" s="11">
        <v>46046</v>
      </c>
      <c r="B14" s="10" t="s">
        <v>22</v>
      </c>
      <c r="C14" s="10" t="s">
        <v>36</v>
      </c>
      <c r="D14" s="10">
        <v>20</v>
      </c>
      <c r="E14" s="12">
        <v>2.29</v>
      </c>
      <c r="F14" s="6" t="str">
        <f>VLOOKUP(B14,securities!A:C,3,FALSE())</f>
        <v>EUR</v>
      </c>
      <c r="G14" s="9">
        <f>IF(C14="BUY",D14*E14,IF(C14="SELL",D14*E14,0))</f>
        <v>45.8</v>
      </c>
      <c r="H14" s="10"/>
    </row>
    <row r="15" spans="1:8" x14ac:dyDescent="0.25">
      <c r="A15" s="11">
        <v>46050</v>
      </c>
      <c r="B15" s="10" t="s">
        <v>24</v>
      </c>
      <c r="C15" s="10" t="s">
        <v>36</v>
      </c>
      <c r="D15" s="10">
        <v>5</v>
      </c>
      <c r="E15" s="12">
        <v>47.6</v>
      </c>
      <c r="F15" s="6" t="str">
        <f>VLOOKUP(B15,securities!A:C,3,FALSE())</f>
        <v>EUR</v>
      </c>
      <c r="G15" s="9">
        <f>IF(C15="BUY",-D15*E15,IF(C15="SELL",D15*E15,0))</f>
        <v>-238</v>
      </c>
      <c r="H15" s="10"/>
    </row>
    <row r="16" spans="1:8" x14ac:dyDescent="0.25">
      <c r="A16" s="11">
        <v>46053</v>
      </c>
      <c r="B16" s="10" t="s">
        <v>26</v>
      </c>
      <c r="C16" s="10" t="s">
        <v>36</v>
      </c>
      <c r="D16" s="10">
        <v>100</v>
      </c>
      <c r="E16" s="12">
        <v>0.62</v>
      </c>
      <c r="F16" s="6" t="str">
        <f>VLOOKUP(B16,securities!A:C,3,FALSE())</f>
        <v>EUR</v>
      </c>
      <c r="G16" s="9">
        <f>IF(C16="BUY",-D16*E16,IF(C16="SELL",D16*E16,0))</f>
        <v>-62</v>
      </c>
      <c r="H16" s="10"/>
    </row>
    <row r="17" spans="1:8" x14ac:dyDescent="0.25">
      <c r="A17" s="11">
        <v>46057</v>
      </c>
      <c r="B17" s="10" t="s">
        <v>12</v>
      </c>
      <c r="C17" s="10" t="s">
        <v>39</v>
      </c>
      <c r="D17" s="10">
        <v>20</v>
      </c>
      <c r="E17" s="12">
        <v>11.2</v>
      </c>
      <c r="F17" s="6" t="str">
        <f>VLOOKUP(B17,securities!A:C,3,FALSE())</f>
        <v>EUR</v>
      </c>
      <c r="G17" s="9">
        <f>IF(C17="BUY",-D17*E17,IF(C17="SELL",D17*E17,0))</f>
        <v>224</v>
      </c>
      <c r="H17" s="10"/>
    </row>
    <row r="18" spans="1:8" x14ac:dyDescent="0.25">
      <c r="A18" s="11">
        <v>46060</v>
      </c>
      <c r="B18" s="10" t="s">
        <v>17</v>
      </c>
      <c r="C18" s="10" t="s">
        <v>39</v>
      </c>
      <c r="D18" s="10">
        <v>10</v>
      </c>
      <c r="E18" s="12">
        <v>3.452</v>
      </c>
      <c r="F18" s="6" t="str">
        <f>VLOOKUP(B18,securities!A:C,3,FALSE())</f>
        <v>EUR</v>
      </c>
      <c r="G18" s="9">
        <f t="shared" ref="G18:G25" si="1">IF(C18="BUY",-D18*E18,IF(C18="SELL",D18*E18,0))</f>
        <v>34.519999999999996</v>
      </c>
      <c r="H18" s="10"/>
    </row>
    <row r="19" spans="1:8" x14ac:dyDescent="0.25">
      <c r="A19" s="11">
        <v>46098</v>
      </c>
      <c r="B19" s="10" t="s">
        <v>24</v>
      </c>
      <c r="C19" s="10" t="s">
        <v>36</v>
      </c>
      <c r="D19" s="10">
        <v>5</v>
      </c>
      <c r="E19" s="12">
        <v>47.8</v>
      </c>
      <c r="F19" s="6" t="str">
        <f>VLOOKUP(B19,securities!A:C,3,FALSE())</f>
        <v>EUR</v>
      </c>
      <c r="G19" s="9">
        <f t="shared" si="1"/>
        <v>-239</v>
      </c>
      <c r="H19" s="10"/>
    </row>
    <row r="20" spans="1:8" x14ac:dyDescent="0.25">
      <c r="A20" s="11">
        <v>46102</v>
      </c>
      <c r="B20" s="10" t="s">
        <v>20</v>
      </c>
      <c r="C20" s="10" t="s">
        <v>39</v>
      </c>
      <c r="D20" s="10">
        <v>50</v>
      </c>
      <c r="E20" s="12">
        <v>1.39</v>
      </c>
      <c r="F20" s="6" t="str">
        <f>VLOOKUP(B20,securities!A:C,3,FALSE())</f>
        <v>EUR</v>
      </c>
      <c r="G20" s="9">
        <f t="shared" si="1"/>
        <v>69.5</v>
      </c>
      <c r="H20" s="10"/>
    </row>
    <row r="21" spans="1:8" x14ac:dyDescent="0.25">
      <c r="A21" s="11">
        <v>46107</v>
      </c>
      <c r="B21" s="10" t="s">
        <v>24</v>
      </c>
      <c r="C21" s="10" t="s">
        <v>39</v>
      </c>
      <c r="D21" s="10">
        <v>2</v>
      </c>
      <c r="E21" s="12">
        <v>48</v>
      </c>
      <c r="F21" s="6" t="str">
        <f>VLOOKUP(B21,securities!A:C,3,FALSE())</f>
        <v>EUR</v>
      </c>
      <c r="G21" s="9">
        <f t="shared" si="1"/>
        <v>96</v>
      </c>
      <c r="H21" s="10"/>
    </row>
    <row r="22" spans="1:8" x14ac:dyDescent="0.25">
      <c r="A22" s="11">
        <v>46113</v>
      </c>
      <c r="B22" s="10" t="s">
        <v>26</v>
      </c>
      <c r="C22" s="10" t="s">
        <v>36</v>
      </c>
      <c r="D22" s="10">
        <v>100</v>
      </c>
      <c r="E22" s="12">
        <v>0.4</v>
      </c>
      <c r="F22" s="6" t="str">
        <f>VLOOKUP(B22,securities!A:C,3,FALSE())</f>
        <v>EUR</v>
      </c>
      <c r="G22" s="9">
        <f t="shared" si="1"/>
        <v>-40</v>
      </c>
      <c r="H22" s="10"/>
    </row>
    <row r="23" spans="1:8" x14ac:dyDescent="0.25">
      <c r="A23" s="11">
        <v>46128</v>
      </c>
      <c r="B23" s="10" t="s">
        <v>22</v>
      </c>
      <c r="C23" s="10" t="s">
        <v>39</v>
      </c>
      <c r="D23" s="10">
        <v>10</v>
      </c>
      <c r="E23" s="12">
        <v>2.33</v>
      </c>
      <c r="F23" s="6" t="str">
        <f>VLOOKUP(B23,securities!A:C,3,FALSE())</f>
        <v>EUR</v>
      </c>
      <c r="G23" s="9">
        <f t="shared" si="1"/>
        <v>23.3</v>
      </c>
      <c r="H23" s="10"/>
    </row>
    <row r="24" spans="1:8" x14ac:dyDescent="0.25">
      <c r="A24" s="11">
        <v>46145</v>
      </c>
      <c r="B24" s="10" t="s">
        <v>28</v>
      </c>
      <c r="C24" s="10" t="s">
        <v>36</v>
      </c>
      <c r="D24" s="10">
        <v>20</v>
      </c>
      <c r="E24" s="12">
        <v>10.85</v>
      </c>
      <c r="F24" s="6" t="str">
        <f>VLOOKUP(B24,securities!A:C,3,FALSE())</f>
        <v>EUR</v>
      </c>
      <c r="G24" s="9">
        <f t="shared" si="1"/>
        <v>-217</v>
      </c>
      <c r="H24" s="10"/>
    </row>
    <row r="25" spans="1:8" x14ac:dyDescent="0.25">
      <c r="A25" s="11">
        <v>46167</v>
      </c>
      <c r="B25" s="10" t="s">
        <v>26</v>
      </c>
      <c r="C25" s="10" t="s">
        <v>39</v>
      </c>
      <c r="D25" s="10">
        <v>100</v>
      </c>
      <c r="E25" s="12">
        <v>0.65</v>
      </c>
      <c r="F25" s="6" t="str">
        <f>VLOOKUP(B25,securities!A:C,3,FALSE())</f>
        <v>EUR</v>
      </c>
      <c r="G25" s="9">
        <f t="shared" si="1"/>
        <v>65</v>
      </c>
    </row>
    <row r="26" spans="1:8" x14ac:dyDescent="0.25">
      <c r="G26" s="8"/>
    </row>
    <row r="27" spans="1:8" x14ac:dyDescent="0.25">
      <c r="G27" s="8"/>
    </row>
    <row r="28" spans="1:8" x14ac:dyDescent="0.25">
      <c r="G28" s="8"/>
    </row>
    <row r="29" spans="1:8" x14ac:dyDescent="0.25">
      <c r="G29" s="8"/>
    </row>
    <row r="30" spans="1:8" x14ac:dyDescent="0.25">
      <c r="G30" s="8"/>
    </row>
    <row r="31" spans="1:8" x14ac:dyDescent="0.25">
      <c r="G31" s="8"/>
    </row>
    <row r="32" spans="1:8" x14ac:dyDescent="0.25">
      <c r="G32" s="8"/>
    </row>
    <row r="33" spans="7:7" x14ac:dyDescent="0.25">
      <c r="G33" s="8"/>
    </row>
    <row r="34" spans="7:7" x14ac:dyDescent="0.25">
      <c r="G34" s="8"/>
    </row>
    <row r="35" spans="7:7" x14ac:dyDescent="0.25">
      <c r="G35" s="8"/>
    </row>
    <row r="36" spans="7:7" x14ac:dyDescent="0.25">
      <c r="G36" s="8"/>
    </row>
    <row r="37" spans="7:7" x14ac:dyDescent="0.25">
      <c r="G37" s="8"/>
    </row>
    <row r="38" spans="7:7" x14ac:dyDescent="0.25">
      <c r="G38" s="8"/>
    </row>
    <row r="39" spans="7:7" x14ac:dyDescent="0.25">
      <c r="G39" s="8"/>
    </row>
  </sheetData>
  <autoFilter ref="A1:H26" xr:uid="{00000000-0001-0000-0100-000000000000}"/>
  <dataValidations count="1">
    <dataValidation type="list" sqref="C2:C111" xr:uid="{00000000-0002-0000-0100-000000000000}">
      <formula1>"BUY,SELL"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xr:uid="{00000000-0002-0000-0100-000001000000}">
          <x14:formula1>
            <xm:f>securities!$A$2:$A$105</xm:f>
          </x14:formula1>
          <x14:formula2>
            <xm:f>0</xm:f>
          </x14:formula2>
          <xm:sqref>B2:B111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securities</vt:lpstr>
      <vt:lpstr>transactions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Aleksandra  Kuld - INTELEX</cp:lastModifiedBy>
  <cp:revision>0</cp:revision>
  <dcterms:created xsi:type="dcterms:W3CDTF">2026-05-21T20:48:41Z</dcterms:created>
  <dcterms:modified xsi:type="dcterms:W3CDTF">2026-05-31T19:43:28Z</dcterms:modified>
  <cp:category/>
  <cp:contentStatus/>
</cp:coreProperties>
</file>